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0" documentId="8_{B68701FA-B636-4C5F-AE07-23F819E6BD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lease Plan" sheetId="2" r:id="rId1"/>
    <sheet name="Stories" sheetId="1" r:id="rId2"/>
  </sheets>
  <definedNames>
    <definedName name="_xlnm._FilterDatabase" localSheetId="1" hidden="1">Stories!$A$1:$E$1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H3" i="1"/>
  <c r="H4" i="1"/>
  <c r="J4" i="1" s="1"/>
  <c r="B17" i="2" s="1"/>
  <c r="G3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D27" i="2"/>
  <c r="E30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8" i="2"/>
  <c r="D3" i="2"/>
  <c r="C3" i="2"/>
  <c r="J3" i="1" l="1"/>
  <c r="B12" i="2" s="1"/>
</calcChain>
</file>

<file path=xl/sharedStrings.xml><?xml version="1.0" encoding="utf-8"?>
<sst xmlns="http://schemas.openxmlformats.org/spreadsheetml/2006/main" count="79" uniqueCount="74">
  <si>
    <t>Release Planning</t>
  </si>
  <si>
    <t>ID</t>
  </si>
  <si>
    <t>Story</t>
  </si>
  <si>
    <t>Estimation</t>
  </si>
  <si>
    <t>Priority</t>
  </si>
  <si>
    <t>MVP</t>
  </si>
  <si>
    <t>Release Goals:</t>
  </si>
  <si>
    <t>First release after GUI is functional and can provide basic information</t>
  </si>
  <si>
    <t>Final release when all the remaing stories are done</t>
  </si>
  <si>
    <t>First Release (MVP 1) October 17th</t>
  </si>
  <si>
    <t>Stories: As marked in MVP column = 1</t>
  </si>
  <si>
    <t>Second Release (MVP 2) November 28th</t>
  </si>
  <si>
    <t>Stories: As marked in MVP column = 2</t>
  </si>
  <si>
    <t>Releases after:</t>
  </si>
  <si>
    <t>Sprint 3, 6</t>
  </si>
  <si>
    <t>Total</t>
  </si>
  <si>
    <t>Calculations</t>
  </si>
  <si>
    <t>7.2.1</t>
  </si>
  <si>
    <t>As an End User I want to be able to ask my questions in plain text</t>
  </si>
  <si>
    <t>Points</t>
  </si>
  <si>
    <t>#Sprints</t>
  </si>
  <si>
    <t>Velocity</t>
  </si>
  <si>
    <t>7.2.2</t>
  </si>
  <si>
    <t>As an End User I want to be able to use English language</t>
  </si>
  <si>
    <t>MVP1</t>
  </si>
  <si>
    <t>7.1.1</t>
  </si>
  <si>
    <t>As an End User I want to be able to access the chat bot from an easy-to-use GUI</t>
  </si>
  <si>
    <t>MVP2</t>
  </si>
  <si>
    <t>7.1.2</t>
  </si>
  <si>
    <t>As an End User I want to be able to access the system without an account</t>
  </si>
  <si>
    <t>7.1.3</t>
  </si>
  <si>
    <t>As an End User I want to be provided with an easy to understand message when an error occurs</t>
  </si>
  <si>
    <t>7.4.12</t>
  </si>
  <si>
    <t>As a system Administrator I want the system to provide a nice error to the user when they ask questions outside of the relevant topics</t>
  </si>
  <si>
    <t>7.3.1</t>
  </si>
  <si>
    <t>As an End User I want the system to generate contextually appropriate responses based on my query</t>
  </si>
  <si>
    <t>7.2.3</t>
  </si>
  <si>
    <t>As a system maintainer I want the system to accurately extract intents with at least 80% accuracy</t>
  </si>
  <si>
    <t>7.3.2</t>
  </si>
  <si>
    <t>As an End User I want the system to provide grammatically correct responses</t>
  </si>
  <si>
    <t>7.3.3</t>
  </si>
  <si>
    <t>As an End User I want the system to support a conversation with me for at least 3 turns while maintaining context</t>
  </si>
  <si>
    <t>7.6.2</t>
  </si>
  <si>
    <t>As a system administrator I want the initial release of ChatCat to be able to support queries from a single user at a time</t>
  </si>
  <si>
    <t>7.4.11</t>
  </si>
  <si>
    <t>As an End User I want the system to ask me a follow up question if my initial question was not specific enough as well as the ability to cancel a request</t>
  </si>
  <si>
    <t>7.4.1</t>
  </si>
  <si>
    <t>As an End User I want the system to be able to provide basic information about the BS Software Engineering program at the UofA</t>
  </si>
  <si>
    <t>7.4.2</t>
  </si>
  <si>
    <t>As an End User I want the system to be able to provide basic information about the MS Software Engineering program at the UofA</t>
  </si>
  <si>
    <t>7.4.3</t>
  </si>
  <si>
    <t>As an End User I want the system to be able to provide basic information about the PhD Software Engineering program at the UofA</t>
  </si>
  <si>
    <t>7.6.3</t>
  </si>
  <si>
    <t>As a system maintainer I want the system to provide responses to a user's query or request with at least 80% accuracy</t>
  </si>
  <si>
    <t>7.4.4</t>
  </si>
  <si>
    <t>As an End User I want the system to provide me with contact and scheduling information for the BS SFWE academic advisors</t>
  </si>
  <si>
    <t>7.4.5</t>
  </si>
  <si>
    <t>As an End User I want the system to provide me with contact and scheduling information for the MS and PhD SFWE academic advisors</t>
  </si>
  <si>
    <t>7.4.6</t>
  </si>
  <si>
    <t>As an End User I want the system to provide information to assist with the degree application and admission process when asked</t>
  </si>
  <si>
    <t>7.1.4</t>
  </si>
  <si>
    <t>As a system maintainer I want to be able to swap components easily without impacting the system</t>
  </si>
  <si>
    <t>7.4.7</t>
  </si>
  <si>
    <t>As an End User I want the system to tell me about career opportunities in the fields of Software Engineering when asked</t>
  </si>
  <si>
    <t>7.4.8</t>
  </si>
  <si>
    <t>As an End User I want the system to provide information about research opportunities when available and asked</t>
  </si>
  <si>
    <t>7.4.9</t>
  </si>
  <si>
    <t>As an End User I want the system to provide direct links to official resources rather than referencing their name</t>
  </si>
  <si>
    <t>7.4.10</t>
  </si>
  <si>
    <t>As an End User I want the system to remember my session if I temporarily lose connection to the system</t>
  </si>
  <si>
    <t>7.5.1</t>
  </si>
  <si>
    <t>As a system administrator I do not what the system to store any personally identifiable information beyond the active session with the user</t>
  </si>
  <si>
    <t>7.6.1</t>
  </si>
  <si>
    <t>As a system administrator I want the system to generate responses within 5 seconds of a user query/request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</si>
</sst>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4" borderId="7" xfId="0" applyFill="1" applyBorder="1"/>
    <xf numFmtId="0" fontId="0" fillId="0" borderId="8" xfId="0" applyBorder="1"/>
    <xf numFmtId="0" fontId="0" fillId="0" borderId="9" xfId="0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</cellXfs>
  <cellStyles count="1">
    <cellStyle name="Normal" xfId="0" builtinId="0"/>
  </cellStyles>
  <dxfs count="7">
    <dxf>
      <fill>
        <patternFill patternType="none"/>
      </fill>
      <alignment horizontal="center" vertical="bottom" textRotation="0" wrapText="0" indent="0" justifyLastLine="0" shrinkToFit="0" readingOrder="0"/>
    </dxf>
    <dxf>
      <fill>
        <patternFill patternType="none"/>
      </fill>
      <alignment horizontal="center" vertical="bottom" textRotation="0" wrapText="0" indent="0" justifyLastLine="0" shrinkToFit="0" readingOrder="0"/>
    </dxf>
    <dxf>
      <fill>
        <patternFill patternType="none"/>
      </fill>
      <alignment horizontal="center" vertical="bottom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  <alignment horizontal="center" vertical="bottom" textRotation="0" wrapText="0" indent="0" justifyLastLine="0" shrinkToFit="0" readingOrder="0"/>
    </dxf>
    <dxf>
      <fill>
        <patternFill patternType="none"/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E36A9-0239-4E0D-899E-9957403F3B1E}" name="Table1" displayName="Table1" ref="C2:G28" totalsRowShown="0" headerRowDxfId="6" dataDxfId="5">
  <autoFilter ref="C2:G28" xr:uid="{DDEE36A9-0239-4E0D-899E-9957403F3B1E}"/>
  <sortState xmlns:xlrd2="http://schemas.microsoft.com/office/spreadsheetml/2017/richdata2" ref="C3:G28">
    <sortCondition ref="F2:F28"/>
  </sortState>
  <tableColumns count="5">
    <tableColumn id="1" xr3:uid="{4ED959F4-31FF-4659-A04B-E2A4A8100E52}" name="ID" dataDxfId="4">
      <calculatedColumnFormula>Stories!A2</calculatedColumnFormula>
    </tableColumn>
    <tableColumn id="2" xr3:uid="{80573080-D137-433B-898E-B722F5777AC1}" name="Story" dataDxfId="3">
      <calculatedColumnFormula>Stories!B2</calculatedColumnFormula>
    </tableColumn>
    <tableColumn id="3" xr3:uid="{DC0D5815-E058-489B-8C2F-1B1D741A2F19}" name="Estimation" dataDxfId="2">
      <calculatedColumnFormula>Stories!C2</calculatedColumnFormula>
    </tableColumn>
    <tableColumn id="4" xr3:uid="{62E56192-9974-4AED-864F-D21660148A81}" name="Priority" dataDxfId="1">
      <calculatedColumnFormula>Stories!D2</calculatedColumnFormula>
    </tableColumn>
    <tableColumn id="5" xr3:uid="{EEB65C0D-91A6-4961-AD08-70F495D12F8E}" name="MVP" dataDxfId="0">
      <calculatedColumnFormula>Stories!E2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97B1-A1BC-41C1-A0A2-C0333343D245}">
  <dimension ref="A1:G33"/>
  <sheetViews>
    <sheetView tabSelected="1" workbookViewId="0">
      <selection activeCell="B26" sqref="B26"/>
    </sheetView>
  </sheetViews>
  <sheetFormatPr defaultRowHeight="15"/>
  <cols>
    <col min="2" max="2" width="60.85546875" customWidth="1"/>
    <col min="4" max="4" width="125.28515625" customWidth="1"/>
    <col min="5" max="5" width="13.28515625" customWidth="1"/>
    <col min="6" max="6" width="9.5703125" bestFit="1" customWidth="1"/>
  </cols>
  <sheetData>
    <row r="1" spans="1:7" ht="26.25">
      <c r="B1" s="5" t="s">
        <v>0</v>
      </c>
    </row>
    <row r="2" spans="1:7"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>
      <c r="C3" s="16" t="str">
        <f>Stories!A2</f>
        <v>7.2.1</v>
      </c>
      <c r="D3" s="17" t="str">
        <f>Stories!B2</f>
        <v>As an End User I want to be able to ask my questions in plain text</v>
      </c>
      <c r="E3" s="16">
        <f>Stories!C2</f>
        <v>8</v>
      </c>
      <c r="F3" s="16">
        <f>Stories!D2</f>
        <v>1</v>
      </c>
      <c r="G3" s="16">
        <f>Stories!E2</f>
        <v>1</v>
      </c>
    </row>
    <row r="4" spans="1:7">
      <c r="B4" s="4" t="s">
        <v>6</v>
      </c>
      <c r="C4" s="16" t="str">
        <f>Stories!A3</f>
        <v>7.2.2</v>
      </c>
      <c r="D4" s="17" t="str">
        <f>Stories!B3</f>
        <v>As an End User I want to be able to use English language</v>
      </c>
      <c r="E4" s="16">
        <f>Stories!C3</f>
        <v>1</v>
      </c>
      <c r="F4" s="16">
        <f>Stories!D3</f>
        <v>2</v>
      </c>
      <c r="G4" s="16">
        <f>Stories!E3</f>
        <v>1</v>
      </c>
    </row>
    <row r="5" spans="1:7">
      <c r="A5">
        <v>1</v>
      </c>
      <c r="B5" t="s">
        <v>7</v>
      </c>
      <c r="C5" s="16" t="str">
        <f>Stories!A4</f>
        <v>7.1.1</v>
      </c>
      <c r="D5" s="17" t="str">
        <f>Stories!B4</f>
        <v>As an End User I want to be able to access the chat bot from an easy-to-use GUI</v>
      </c>
      <c r="E5" s="16">
        <f>Stories!C4</f>
        <v>8</v>
      </c>
      <c r="F5" s="16">
        <f>Stories!D4</f>
        <v>3</v>
      </c>
      <c r="G5" s="16">
        <f>Stories!E4</f>
        <v>1</v>
      </c>
    </row>
    <row r="6" spans="1:7">
      <c r="A6">
        <v>2</v>
      </c>
      <c r="B6" t="s">
        <v>8</v>
      </c>
      <c r="C6" s="16" t="str">
        <f>Stories!A5</f>
        <v>7.1.2</v>
      </c>
      <c r="D6" s="17" t="str">
        <f>Stories!B5</f>
        <v>As an End User I want to be able to access the system without an account</v>
      </c>
      <c r="E6" s="16">
        <f>Stories!C5</f>
        <v>4</v>
      </c>
      <c r="F6" s="16">
        <f>Stories!D5</f>
        <v>4</v>
      </c>
      <c r="G6" s="16">
        <f>Stories!E5</f>
        <v>1</v>
      </c>
    </row>
    <row r="7" spans="1:7">
      <c r="C7" s="16" t="str">
        <f>Stories!A6</f>
        <v>7.1.3</v>
      </c>
      <c r="D7" s="17" t="str">
        <f>Stories!B6</f>
        <v>As an End User I want to be provided with an easy to understand message when an error occurs</v>
      </c>
      <c r="E7" s="16">
        <f>Stories!C6</f>
        <v>2</v>
      </c>
      <c r="F7" s="16">
        <f>Stories!D6</f>
        <v>5</v>
      </c>
      <c r="G7" s="16">
        <f>Stories!E6</f>
        <v>1</v>
      </c>
    </row>
    <row r="8" spans="1:7">
      <c r="C8" s="16" t="str">
        <f>Stories!A7</f>
        <v>7.4.12</v>
      </c>
      <c r="D8" s="17" t="str">
        <f>Stories!B7</f>
        <v>As a system Administrator I want the system to provide a nice error to the user when they ask questions outside of the relevant topics</v>
      </c>
      <c r="E8" s="16">
        <f>Stories!C7</f>
        <v>4</v>
      </c>
      <c r="F8" s="16">
        <f>Stories!D7</f>
        <v>6</v>
      </c>
      <c r="G8" s="16">
        <f>Stories!E7</f>
        <v>1</v>
      </c>
    </row>
    <row r="9" spans="1:7">
      <c r="C9" s="16" t="str">
        <f>Stories!A8</f>
        <v>7.3.1</v>
      </c>
      <c r="D9" s="17" t="str">
        <f>Stories!B8</f>
        <v>As an End User I want the system to generate contextually appropriate responses based on my query</v>
      </c>
      <c r="E9" s="16">
        <f>Stories!C8</f>
        <v>8</v>
      </c>
      <c r="F9" s="16">
        <f>Stories!D8</f>
        <v>7</v>
      </c>
      <c r="G9" s="16">
        <f>Stories!E8</f>
        <v>1</v>
      </c>
    </row>
    <row r="10" spans="1:7">
      <c r="B10" s="4" t="s">
        <v>9</v>
      </c>
      <c r="C10" s="16" t="str">
        <f>Stories!A9</f>
        <v>7.2.3</v>
      </c>
      <c r="D10" s="17" t="str">
        <f>Stories!B9</f>
        <v>As a system maintainer I want the system to accurately extract intents with at least 80% accuracy</v>
      </c>
      <c r="E10" s="16">
        <f>Stories!C9</f>
        <v>8</v>
      </c>
      <c r="F10" s="16">
        <f>Stories!D9</f>
        <v>8</v>
      </c>
      <c r="G10" s="16">
        <f>Stories!E9</f>
        <v>1</v>
      </c>
    </row>
    <row r="11" spans="1:7">
      <c r="A11">
        <v>1</v>
      </c>
      <c r="B11" t="s">
        <v>10</v>
      </c>
      <c r="C11" s="16" t="str">
        <f>Stories!A10</f>
        <v>7.3.2</v>
      </c>
      <c r="D11" s="17" t="str">
        <f>Stories!B10</f>
        <v>As an End User I want the system to provide grammatically correct responses</v>
      </c>
      <c r="E11" s="16">
        <f>Stories!C10</f>
        <v>8</v>
      </c>
      <c r="F11" s="16">
        <f>Stories!D10</f>
        <v>9</v>
      </c>
      <c r="G11" s="16">
        <f>Stories!E10</f>
        <v>1</v>
      </c>
    </row>
    <row r="12" spans="1:7">
      <c r="A12">
        <v>2</v>
      </c>
      <c r="B12" t="str">
        <f>_xlfn.CONCAT("Estimation / Velocity = ", Stories!J3, " points per sprint (Excluding Sprint 1)")</f>
        <v>Estimation / Velocity = 35 points per sprint (Excluding Sprint 1)</v>
      </c>
      <c r="C12" s="16" t="str">
        <f>Stories!A11</f>
        <v>7.3.3</v>
      </c>
      <c r="D12" s="17" t="str">
        <f>Stories!B11</f>
        <v>As an End User I want the system to support a conversation with me for at least 3 turns while maintaining context</v>
      </c>
      <c r="E12" s="16">
        <f>Stories!C11</f>
        <v>4</v>
      </c>
      <c r="F12" s="16">
        <f>Stories!D11</f>
        <v>10</v>
      </c>
      <c r="G12" s="16">
        <f>Stories!E11</f>
        <v>1</v>
      </c>
    </row>
    <row r="13" spans="1:7">
      <c r="C13" s="16" t="str">
        <f>Stories!A12</f>
        <v>7.6.2</v>
      </c>
      <c r="D13" s="17" t="str">
        <f>Stories!B12</f>
        <v>As a system administrator I want the initial release of ChatCat to be able to support queries from a single user at a time</v>
      </c>
      <c r="E13" s="16">
        <f>Stories!C12</f>
        <v>4</v>
      </c>
      <c r="F13" s="16">
        <f>Stories!D12</f>
        <v>11</v>
      </c>
      <c r="G13" s="16">
        <f>Stories!E12</f>
        <v>1</v>
      </c>
    </row>
    <row r="14" spans="1:7">
      <c r="C14" s="16" t="str">
        <f>Stories!A13</f>
        <v>7.4.11</v>
      </c>
      <c r="D14" s="17" t="str">
        <f>Stories!B13</f>
        <v>As an End User I want the system to ask me a follow up question if my initial question was not specific enough as well as the ability to cancel a request</v>
      </c>
      <c r="E14" s="16">
        <f>Stories!C13</f>
        <v>8</v>
      </c>
      <c r="F14" s="16">
        <f>Stories!D13</f>
        <v>12</v>
      </c>
      <c r="G14" s="16">
        <f>Stories!E13</f>
        <v>1</v>
      </c>
    </row>
    <row r="15" spans="1:7">
      <c r="B15" s="4" t="s">
        <v>11</v>
      </c>
      <c r="C15" s="16" t="str">
        <f>Stories!A14</f>
        <v>7.4.1</v>
      </c>
      <c r="D15" s="17" t="str">
        <f>Stories!B14</f>
        <v>As an End User I want the system to be able to provide basic information about the BS Software Engineering program at the UofA</v>
      </c>
      <c r="E15" s="16">
        <f>Stories!C14</f>
        <v>2</v>
      </c>
      <c r="F15" s="16">
        <f>Stories!D14</f>
        <v>13</v>
      </c>
      <c r="G15" s="16">
        <f>Stories!E14</f>
        <v>1</v>
      </c>
    </row>
    <row r="16" spans="1:7">
      <c r="A16">
        <v>1</v>
      </c>
      <c r="B16" t="s">
        <v>12</v>
      </c>
      <c r="C16" s="18" t="str">
        <f>Stories!A15</f>
        <v>7.4.2</v>
      </c>
      <c r="D16" s="19" t="str">
        <f>Stories!B15</f>
        <v>As an End User I want the system to be able to provide basic information about the MS Software Engineering program at the UofA</v>
      </c>
      <c r="E16" s="18">
        <f>Stories!C15</f>
        <v>2</v>
      </c>
      <c r="F16" s="18">
        <f>Stories!D15</f>
        <v>14</v>
      </c>
      <c r="G16" s="18">
        <f>Stories!E15</f>
        <v>2</v>
      </c>
    </row>
    <row r="17" spans="1:7">
      <c r="A17">
        <v>2</v>
      </c>
      <c r="B17" t="str">
        <f>_xlfn.CONCAT("Estimation / Velocity = ", Stories!J4, " points per sprint")</f>
        <v>Estimation / Velocity = 16 points per sprint</v>
      </c>
      <c r="C17" s="18" t="str">
        <f>Stories!A16</f>
        <v>7.4.3</v>
      </c>
      <c r="D17" s="19" t="str">
        <f>Stories!B16</f>
        <v>As an End User I want the system to be able to provide basic information about the PhD Software Engineering program at the UofA</v>
      </c>
      <c r="E17" s="18">
        <f>Stories!C16</f>
        <v>2</v>
      </c>
      <c r="F17" s="18">
        <f>Stories!D16</f>
        <v>15</v>
      </c>
      <c r="G17" s="18">
        <f>Stories!E16</f>
        <v>2</v>
      </c>
    </row>
    <row r="18" spans="1:7">
      <c r="C18" s="18" t="str">
        <f>Stories!A17</f>
        <v>7.6.3</v>
      </c>
      <c r="D18" s="19" t="str">
        <f>Stories!B17</f>
        <v>As a system maintainer I want the system to provide responses to a user's query or request with at least 80% accuracy</v>
      </c>
      <c r="E18" s="18">
        <f>Stories!C17</f>
        <v>8</v>
      </c>
      <c r="F18" s="18">
        <f>Stories!D17</f>
        <v>16</v>
      </c>
      <c r="G18" s="18">
        <f>Stories!E17</f>
        <v>2</v>
      </c>
    </row>
    <row r="19" spans="1:7">
      <c r="C19" s="18" t="str">
        <f>Stories!A18</f>
        <v>7.4.4</v>
      </c>
      <c r="D19" s="19" t="str">
        <f>Stories!B18</f>
        <v>As an End User I want the system to provide me with contact and scheduling information for the BS SFWE academic advisors</v>
      </c>
      <c r="E19" s="18">
        <f>Stories!C18</f>
        <v>2</v>
      </c>
      <c r="F19" s="18">
        <f>Stories!D18</f>
        <v>17</v>
      </c>
      <c r="G19" s="18">
        <f>Stories!E18</f>
        <v>2</v>
      </c>
    </row>
    <row r="20" spans="1:7">
      <c r="B20" s="4" t="s">
        <v>13</v>
      </c>
      <c r="C20" s="18" t="str">
        <f>Stories!A19</f>
        <v>7.4.5</v>
      </c>
      <c r="D20" s="19" t="str">
        <f>Stories!B19</f>
        <v>As an End User I want the system to provide me with contact and scheduling information for the MS and PhD SFWE academic advisors</v>
      </c>
      <c r="E20" s="18">
        <f>Stories!C19</f>
        <v>2</v>
      </c>
      <c r="F20" s="18">
        <f>Stories!D19</f>
        <v>18</v>
      </c>
      <c r="G20" s="18">
        <f>Stories!E19</f>
        <v>2</v>
      </c>
    </row>
    <row r="21" spans="1:7">
      <c r="B21" t="s">
        <v>14</v>
      </c>
      <c r="C21" s="18" t="str">
        <f>Stories!A20</f>
        <v>7.4.6</v>
      </c>
      <c r="D21" s="19" t="str">
        <f>Stories!B20</f>
        <v>As an End User I want the system to provide information to assist with the degree application and admission process when asked</v>
      </c>
      <c r="E21" s="18">
        <f>Stories!C20</f>
        <v>4</v>
      </c>
      <c r="F21" s="18">
        <f>Stories!D20</f>
        <v>19</v>
      </c>
      <c r="G21" s="18">
        <f>Stories!E20</f>
        <v>2</v>
      </c>
    </row>
    <row r="22" spans="1:7">
      <c r="C22" s="18" t="str">
        <f>Stories!A21</f>
        <v>7.1.4</v>
      </c>
      <c r="D22" s="19" t="str">
        <f>Stories!B21</f>
        <v>As a system maintainer I want to be able to swap components easily without impacting the system</v>
      </c>
      <c r="E22" s="18">
        <f>Stories!C21</f>
        <v>1</v>
      </c>
      <c r="F22" s="18">
        <f>Stories!D21</f>
        <v>20</v>
      </c>
      <c r="G22" s="18">
        <f>Stories!E21</f>
        <v>2</v>
      </c>
    </row>
    <row r="23" spans="1:7">
      <c r="C23" s="18" t="str">
        <f>Stories!A22</f>
        <v>7.4.7</v>
      </c>
      <c r="D23" s="19" t="str">
        <f>Stories!B22</f>
        <v>As an End User I want the system to tell me about career opportunities in the fields of Software Engineering when asked</v>
      </c>
      <c r="E23" s="18">
        <f>Stories!C22</f>
        <v>4</v>
      </c>
      <c r="F23" s="18">
        <f>Stories!D22</f>
        <v>21</v>
      </c>
      <c r="G23" s="18">
        <f>Stories!E22</f>
        <v>2</v>
      </c>
    </row>
    <row r="24" spans="1:7">
      <c r="C24" s="18" t="str">
        <f>Stories!A23</f>
        <v>7.4.8</v>
      </c>
      <c r="D24" s="19" t="str">
        <f>Stories!B23</f>
        <v>As an End User I want the system to provide information about research opportunities when available and asked</v>
      </c>
      <c r="E24" s="18">
        <f>Stories!C23</f>
        <v>4</v>
      </c>
      <c r="F24" s="18">
        <f>Stories!D23</f>
        <v>22</v>
      </c>
      <c r="G24" s="18">
        <f>Stories!E23</f>
        <v>2</v>
      </c>
    </row>
    <row r="25" spans="1:7">
      <c r="C25" s="18" t="str">
        <f>Stories!A24</f>
        <v>7.4.9</v>
      </c>
      <c r="D25" s="19" t="str">
        <f>Stories!B24</f>
        <v>As an End User I want the system to provide direct links to official resources rather than referencing their name</v>
      </c>
      <c r="E25" s="18">
        <f>Stories!C24</f>
        <v>2</v>
      </c>
      <c r="F25" s="18">
        <f>Stories!D24</f>
        <v>23</v>
      </c>
      <c r="G25" s="18">
        <f>Stories!E24</f>
        <v>2</v>
      </c>
    </row>
    <row r="26" spans="1:7">
      <c r="C26" s="18" t="str">
        <f>Stories!A25</f>
        <v>7.4.10</v>
      </c>
      <c r="D26" s="19" t="str">
        <f>Stories!B25</f>
        <v>As an End User I want the system to remember my session if I temporarily lose connection to the system</v>
      </c>
      <c r="E26" s="18">
        <f>Stories!C25</f>
        <v>8</v>
      </c>
      <c r="F26" s="18">
        <f>Stories!D25</f>
        <v>24</v>
      </c>
      <c r="G26" s="18">
        <f>Stories!E25</f>
        <v>2</v>
      </c>
    </row>
    <row r="27" spans="1:7">
      <c r="C27" s="18" t="str">
        <f>Stories!A26</f>
        <v>7.5.1</v>
      </c>
      <c r="D27" s="19" t="str">
        <f>Stories!B26</f>
        <v>As a system administrator I do not what the system to store any personally identifiable information beyond the active session with the user</v>
      </c>
      <c r="E27" s="18">
        <f>Stories!C26</f>
        <v>1</v>
      </c>
      <c r="F27" s="18">
        <f>Stories!D26</f>
        <v>25</v>
      </c>
      <c r="G27" s="18">
        <f>Stories!E26</f>
        <v>2</v>
      </c>
    </row>
    <row r="28" spans="1:7">
      <c r="C28" s="18" t="str">
        <f>Stories!A27</f>
        <v>7.6.1</v>
      </c>
      <c r="D28" s="19" t="str">
        <f>Stories!B27</f>
        <v>As a system administrator I want the system to generate responses within 5 seconds of a user query/request</v>
      </c>
      <c r="E28" s="18">
        <f>Stories!C27</f>
        <v>8</v>
      </c>
      <c r="F28" s="18">
        <f>Stories!D27</f>
        <v>26</v>
      </c>
      <c r="G28" s="18">
        <f>Stories!E27</f>
        <v>2</v>
      </c>
    </row>
    <row r="29" spans="1:7">
      <c r="C29" s="1"/>
      <c r="E29" s="1"/>
      <c r="F29" s="1"/>
      <c r="G29" s="1"/>
    </row>
    <row r="30" spans="1:7">
      <c r="C30" s="6" t="s">
        <v>15</v>
      </c>
      <c r="D30" s="7"/>
      <c r="E30" s="6">
        <f>SUM(E3:E28)</f>
        <v>117</v>
      </c>
      <c r="F30" s="6"/>
      <c r="G30" s="6"/>
    </row>
    <row r="31" spans="1:7">
      <c r="C31" s="1"/>
      <c r="E31" s="1"/>
      <c r="F31" s="1"/>
    </row>
    <row r="32" spans="1:7">
      <c r="C32" s="1"/>
      <c r="E32" s="1"/>
      <c r="F32" s="1"/>
    </row>
    <row r="33" spans="3:6">
      <c r="C33" s="1"/>
      <c r="E33" s="1"/>
      <c r="F33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Q32" sqref="Q32"/>
    </sheetView>
  </sheetViews>
  <sheetFormatPr defaultRowHeight="15"/>
  <cols>
    <col min="1" max="1" width="9.140625" style="1"/>
    <col min="2" max="2" width="126" customWidth="1"/>
    <col min="3" max="3" width="12.5703125" bestFit="1" customWidth="1"/>
    <col min="4" max="4" width="9.42578125" bestFit="1" customWidth="1"/>
  </cols>
  <sheetData>
    <row r="1" spans="1:10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G1" t="s">
        <v>16</v>
      </c>
    </row>
    <row r="2" spans="1:10">
      <c r="A2" s="1" t="s">
        <v>17</v>
      </c>
      <c r="B2" t="s">
        <v>18</v>
      </c>
      <c r="C2" s="1">
        <v>8</v>
      </c>
      <c r="D2" s="1">
        <v>1</v>
      </c>
      <c r="E2" s="1">
        <v>1</v>
      </c>
      <c r="G2" s="13"/>
      <c r="H2" s="11" t="s">
        <v>19</v>
      </c>
      <c r="I2" s="11" t="s">
        <v>20</v>
      </c>
      <c r="J2" s="12" t="s">
        <v>21</v>
      </c>
    </row>
    <row r="3" spans="1:10">
      <c r="A3" s="1" t="s">
        <v>22</v>
      </c>
      <c r="B3" t="s">
        <v>23</v>
      </c>
      <c r="C3" s="1">
        <v>1</v>
      </c>
      <c r="D3" s="1">
        <v>2</v>
      </c>
      <c r="E3" s="1">
        <v>1</v>
      </c>
      <c r="G3" s="14" t="s">
        <v>24</v>
      </c>
      <c r="H3">
        <f>SUMIF(E2:E50, "=1", C2:C50)</f>
        <v>69</v>
      </c>
      <c r="I3">
        <v>2</v>
      </c>
      <c r="J3" s="8">
        <f>ROUND(H3/I3, 0)</f>
        <v>35</v>
      </c>
    </row>
    <row r="4" spans="1:10">
      <c r="A4" s="1" t="s">
        <v>25</v>
      </c>
      <c r="B4" t="s">
        <v>26</v>
      </c>
      <c r="C4" s="1">
        <v>8</v>
      </c>
      <c r="D4" s="1">
        <v>3</v>
      </c>
      <c r="E4" s="1">
        <v>1</v>
      </c>
      <c r="G4" s="15" t="s">
        <v>27</v>
      </c>
      <c r="H4" s="9">
        <f>SUMIF(E2:E50, "=2", C2:C50)</f>
        <v>48</v>
      </c>
      <c r="I4" s="9">
        <v>3</v>
      </c>
      <c r="J4" s="10">
        <f>ROUNDUP(H4/I4, 0)</f>
        <v>16</v>
      </c>
    </row>
    <row r="5" spans="1:10">
      <c r="A5" s="1" t="s">
        <v>28</v>
      </c>
      <c r="B5" t="s">
        <v>29</v>
      </c>
      <c r="C5" s="1">
        <v>4</v>
      </c>
      <c r="D5" s="1">
        <v>4</v>
      </c>
      <c r="E5" s="1">
        <v>1</v>
      </c>
    </row>
    <row r="6" spans="1:10">
      <c r="A6" s="1" t="s">
        <v>30</v>
      </c>
      <c r="B6" t="s">
        <v>31</v>
      </c>
      <c r="C6" s="1">
        <v>2</v>
      </c>
      <c r="D6" s="1">
        <v>5</v>
      </c>
      <c r="E6" s="1">
        <v>1</v>
      </c>
    </row>
    <row r="7" spans="1:10">
      <c r="A7" s="1" t="s">
        <v>32</v>
      </c>
      <c r="B7" t="s">
        <v>33</v>
      </c>
      <c r="C7" s="1">
        <v>4</v>
      </c>
      <c r="D7" s="1">
        <v>6</v>
      </c>
      <c r="E7" s="1">
        <v>1</v>
      </c>
    </row>
    <row r="8" spans="1:10">
      <c r="A8" s="1" t="s">
        <v>34</v>
      </c>
      <c r="B8" t="s">
        <v>35</v>
      </c>
      <c r="C8" s="1">
        <v>8</v>
      </c>
      <c r="D8" s="1">
        <v>7</v>
      </c>
      <c r="E8" s="1">
        <v>1</v>
      </c>
    </row>
    <row r="9" spans="1:10">
      <c r="A9" s="1" t="s">
        <v>36</v>
      </c>
      <c r="B9" t="s">
        <v>37</v>
      </c>
      <c r="C9" s="1">
        <v>8</v>
      </c>
      <c r="D9" s="1">
        <v>8</v>
      </c>
      <c r="E9" s="1">
        <v>1</v>
      </c>
    </row>
    <row r="10" spans="1:10">
      <c r="A10" s="1" t="s">
        <v>38</v>
      </c>
      <c r="B10" t="s">
        <v>39</v>
      </c>
      <c r="C10" s="1">
        <v>8</v>
      </c>
      <c r="D10" s="1">
        <v>9</v>
      </c>
      <c r="E10" s="1">
        <v>1</v>
      </c>
    </row>
    <row r="11" spans="1:10">
      <c r="A11" s="1" t="s">
        <v>40</v>
      </c>
      <c r="B11" t="s">
        <v>41</v>
      </c>
      <c r="C11" s="1">
        <v>4</v>
      </c>
      <c r="D11" s="1">
        <v>10</v>
      </c>
      <c r="E11" s="1">
        <v>1</v>
      </c>
    </row>
    <row r="12" spans="1:10">
      <c r="A12" s="1" t="s">
        <v>42</v>
      </c>
      <c r="B12" t="s">
        <v>43</v>
      </c>
      <c r="C12" s="1">
        <v>4</v>
      </c>
      <c r="D12" s="1">
        <v>11</v>
      </c>
      <c r="E12" s="1">
        <v>1</v>
      </c>
    </row>
    <row r="13" spans="1:10">
      <c r="A13" s="1" t="s">
        <v>44</v>
      </c>
      <c r="B13" t="s">
        <v>45</v>
      </c>
      <c r="C13" s="1">
        <v>8</v>
      </c>
      <c r="D13" s="1">
        <v>12</v>
      </c>
      <c r="E13" s="1">
        <v>1</v>
      </c>
    </row>
    <row r="14" spans="1:10">
      <c r="A14" s="1" t="s">
        <v>46</v>
      </c>
      <c r="B14" t="s">
        <v>47</v>
      </c>
      <c r="C14" s="1">
        <v>2</v>
      </c>
      <c r="D14" s="1">
        <v>13</v>
      </c>
      <c r="E14" s="1">
        <v>1</v>
      </c>
    </row>
    <row r="15" spans="1:10">
      <c r="A15" s="1" t="s">
        <v>48</v>
      </c>
      <c r="B15" t="s">
        <v>49</v>
      </c>
      <c r="C15" s="1">
        <v>2</v>
      </c>
      <c r="D15" s="1">
        <v>14</v>
      </c>
      <c r="E15" s="1">
        <v>2</v>
      </c>
    </row>
    <row r="16" spans="1:10">
      <c r="A16" s="1" t="s">
        <v>50</v>
      </c>
      <c r="B16" t="s">
        <v>51</v>
      </c>
      <c r="C16" s="1">
        <v>2</v>
      </c>
      <c r="D16" s="1">
        <v>15</v>
      </c>
      <c r="E16" s="1">
        <v>2</v>
      </c>
    </row>
    <row r="17" spans="1:5">
      <c r="A17" s="1" t="s">
        <v>52</v>
      </c>
      <c r="B17" t="s">
        <v>53</v>
      </c>
      <c r="C17" s="1">
        <v>8</v>
      </c>
      <c r="D17" s="1">
        <v>16</v>
      </c>
      <c r="E17" s="1">
        <v>2</v>
      </c>
    </row>
    <row r="18" spans="1:5">
      <c r="A18" s="1" t="s">
        <v>54</v>
      </c>
      <c r="B18" t="s">
        <v>55</v>
      </c>
      <c r="C18" s="1">
        <v>2</v>
      </c>
      <c r="D18" s="1">
        <v>17</v>
      </c>
      <c r="E18" s="1">
        <v>2</v>
      </c>
    </row>
    <row r="19" spans="1:5">
      <c r="A19" s="1" t="s">
        <v>56</v>
      </c>
      <c r="B19" t="s">
        <v>57</v>
      </c>
      <c r="C19" s="1">
        <v>2</v>
      </c>
      <c r="D19" s="1">
        <v>18</v>
      </c>
      <c r="E19" s="1">
        <v>2</v>
      </c>
    </row>
    <row r="20" spans="1:5">
      <c r="A20" s="1" t="s">
        <v>58</v>
      </c>
      <c r="B20" t="s">
        <v>59</v>
      </c>
      <c r="C20" s="1">
        <v>4</v>
      </c>
      <c r="D20" s="1">
        <v>19</v>
      </c>
      <c r="E20" s="1">
        <v>2</v>
      </c>
    </row>
    <row r="21" spans="1:5">
      <c r="A21" s="1" t="s">
        <v>60</v>
      </c>
      <c r="B21" t="s">
        <v>61</v>
      </c>
      <c r="C21" s="1">
        <v>1</v>
      </c>
      <c r="D21" s="1">
        <v>20</v>
      </c>
      <c r="E21" s="1">
        <v>2</v>
      </c>
    </row>
    <row r="22" spans="1:5">
      <c r="A22" s="1" t="s">
        <v>62</v>
      </c>
      <c r="B22" t="s">
        <v>63</v>
      </c>
      <c r="C22" s="1">
        <v>4</v>
      </c>
      <c r="D22" s="1">
        <v>21</v>
      </c>
      <c r="E22" s="1">
        <v>2</v>
      </c>
    </row>
    <row r="23" spans="1:5">
      <c r="A23" s="1" t="s">
        <v>64</v>
      </c>
      <c r="B23" t="s">
        <v>65</v>
      </c>
      <c r="C23" s="1">
        <v>4</v>
      </c>
      <c r="D23" s="1">
        <v>22</v>
      </c>
      <c r="E23" s="1">
        <v>2</v>
      </c>
    </row>
    <row r="24" spans="1:5">
      <c r="A24" s="1" t="s">
        <v>66</v>
      </c>
      <c r="B24" t="s">
        <v>67</v>
      </c>
      <c r="C24" s="1">
        <v>2</v>
      </c>
      <c r="D24" s="1">
        <v>23</v>
      </c>
      <c r="E24" s="1">
        <v>2</v>
      </c>
    </row>
    <row r="25" spans="1:5">
      <c r="A25" s="1" t="s">
        <v>68</v>
      </c>
      <c r="B25" t="s">
        <v>69</v>
      </c>
      <c r="C25" s="1">
        <v>8</v>
      </c>
      <c r="D25" s="1">
        <v>24</v>
      </c>
      <c r="E25" s="1">
        <v>2</v>
      </c>
    </row>
    <row r="26" spans="1:5">
      <c r="A26" s="1" t="s">
        <v>70</v>
      </c>
      <c r="B26" t="s">
        <v>71</v>
      </c>
      <c r="C26" s="1">
        <v>1</v>
      </c>
      <c r="D26" s="1">
        <v>25</v>
      </c>
      <c r="E26" s="1">
        <v>2</v>
      </c>
    </row>
    <row r="27" spans="1:5">
      <c r="A27" s="1" t="s">
        <v>72</v>
      </c>
      <c r="B27" t="s">
        <v>73</v>
      </c>
      <c r="C27" s="1">
        <v>8</v>
      </c>
      <c r="D27" s="1">
        <v>26</v>
      </c>
      <c r="E27" s="1">
        <v>2</v>
      </c>
    </row>
  </sheetData>
  <autoFilter ref="A1:E1" xr:uid="{00000000-0001-0000-0000-000000000000}">
    <sortState xmlns:xlrd2="http://schemas.microsoft.com/office/spreadsheetml/2017/richdata2" ref="A2:E27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2025-09-17T01:04:37Z</dcterms:created>
  <dcterms:modified xsi:type="dcterms:W3CDTF">2025-09-22T01:50:08Z</dcterms:modified>
  <cp:category/>
  <cp:contentStatus/>
</cp:coreProperties>
</file>